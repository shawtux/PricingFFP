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rcos Orrego\Documents\Pricing\"/>
    </mc:Choice>
  </mc:AlternateContent>
  <bookViews>
    <workbookView xWindow="0" yWindow="0" windowWidth="28800" windowHeight="10933" activeTab="1"/>
  </bookViews>
  <sheets>
    <sheet name="Despliegue Montos" sheetId="1" r:id="rId1"/>
    <sheet name="Despliegues de regulaciones " sheetId="2" r:id="rId2"/>
    <sheet name="season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7" i="2" l="1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G6" i="2"/>
  <c r="G7" i="2" s="1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F6" i="2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K13" i="2"/>
  <c r="K10" i="2"/>
  <c r="K8" i="2"/>
  <c r="K6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2" i="2"/>
  <c r="K11" i="2"/>
  <c r="K9" i="2"/>
  <c r="K7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H5" i="2" l="1"/>
  <c r="H2" i="2" l="1"/>
  <c r="H3" i="2"/>
  <c r="H4" i="2"/>
  <c r="F5" i="2" l="1"/>
  <c r="G3" i="2"/>
  <c r="G4" i="2" s="1"/>
  <c r="G5" i="2" s="1"/>
  <c r="M4" i="2"/>
  <c r="M3" i="2"/>
  <c r="M2" i="2"/>
  <c r="K5" i="2"/>
  <c r="M5" i="2"/>
  <c r="L5" i="2"/>
  <c r="J5" i="2"/>
  <c r="I5" i="2"/>
  <c r="F4" i="2" l="1"/>
  <c r="F3" i="2"/>
  <c r="D4" i="1"/>
  <c r="D3" i="1"/>
  <c r="D2" i="1"/>
  <c r="K4" i="2"/>
  <c r="K2" i="2"/>
  <c r="L4" i="2"/>
  <c r="L2" i="2"/>
  <c r="I3" i="2"/>
  <c r="J4" i="2"/>
  <c r="J3" i="2"/>
  <c r="I2" i="2"/>
  <c r="I4" i="2"/>
  <c r="K3" i="2"/>
  <c r="L3" i="2"/>
  <c r="J2" i="2"/>
</calcChain>
</file>

<file path=xl/sharedStrings.xml><?xml version="1.0" encoding="utf-8"?>
<sst xmlns="http://schemas.openxmlformats.org/spreadsheetml/2006/main" count="265" uniqueCount="71">
  <si>
    <t>ORIGEN</t>
  </si>
  <si>
    <t>DESTINO</t>
  </si>
  <si>
    <t>ACCOUNT CODE</t>
  </si>
  <si>
    <t>GRU</t>
  </si>
  <si>
    <t>SCL</t>
  </si>
  <si>
    <t>LOW</t>
  </si>
  <si>
    <t>DESLPIEGUE MONTOS</t>
  </si>
  <si>
    <t>PREMIUM</t>
  </si>
  <si>
    <t>CLASE</t>
  </si>
  <si>
    <t>CATEGORIAS</t>
  </si>
  <si>
    <t>3,4,11,14,15</t>
  </si>
  <si>
    <t>T</t>
  </si>
  <si>
    <t>NUMERO MAX DE LINEAS DE TARIFAS PARA DESPLEGAR</t>
  </si>
  <si>
    <t>Despliegue de tarifas</t>
  </si>
  <si>
    <t>Despliegue de regulaciones</t>
  </si>
  <si>
    <t>JULI</t>
  </si>
  <si>
    <t xml:space="preserve">TOM18HAW </t>
  </si>
  <si>
    <t>SEASON</t>
  </si>
  <si>
    <t>BLACKOUT</t>
  </si>
  <si>
    <t>OD</t>
  </si>
  <si>
    <t>SAOSCL</t>
  </si>
  <si>
    <t>FB</t>
  </si>
  <si>
    <t>categoria</t>
  </si>
  <si>
    <t>monto</t>
  </si>
  <si>
    <t>farebasis</t>
  </si>
  <si>
    <t>brazil to chile: 07aug-18sep</t>
  </si>
  <si>
    <t>season</t>
  </si>
  <si>
    <t>BO</t>
  </si>
  <si>
    <t>none</t>
  </si>
  <si>
    <t>O&amp;D</t>
  </si>
  <si>
    <t>Fecha Vista</t>
  </si>
  <si>
    <t>FAREBASIS</t>
  </si>
  <si>
    <t>MONTO</t>
  </si>
  <si>
    <t>MIN // 06</t>
  </si>
  <si>
    <t xml:space="preserve"> AP // 05</t>
  </si>
  <si>
    <t>SU // 12</t>
  </si>
  <si>
    <t>FL // 04</t>
  </si>
  <si>
    <t>DA // 02</t>
  </si>
  <si>
    <t>SCLARI</t>
  </si>
  <si>
    <t xml:space="preserve">XOW </t>
  </si>
  <si>
    <t>X</t>
  </si>
  <si>
    <t xml:space="preserve">DEBE PERMANECER UN MINIMO DE 3 DIAS  O UNA NOCHE DE SABADO                 </t>
  </si>
  <si>
    <t xml:space="preserve">EMISION  REQUERIDA 24 HORAS DESDE HECHA LA RESERVA      </t>
  </si>
  <si>
    <t xml:space="preserve">MISCELLANEOUS/OTHER SURCHARGE OF CLP 2500 PER FARE COMPONENT WILL BE ADDED TO THE APPLICABLE FARE PER ADULT/CHILD/INFANT,INFANT FREE.                   </t>
  </si>
  <si>
    <t>NO FLIGHT RESTRICTIONS APPLY</t>
  </si>
  <si>
    <t>NO DAY/TIME TRAVEL RESTRICTIONS APPLY</t>
  </si>
  <si>
    <t>direcionnalidad</t>
  </si>
  <si>
    <t>br-chile</t>
  </si>
  <si>
    <t>br-cl</t>
  </si>
  <si>
    <t>07-aug</t>
  </si>
  <si>
    <t>17-dec</t>
  </si>
  <si>
    <t>cl-br</t>
  </si>
  <si>
    <t>low</t>
  </si>
  <si>
    <t>FTC</t>
  </si>
  <si>
    <t>FTC:(.*)</t>
  </si>
  <si>
    <t>SAO</t>
  </si>
  <si>
    <t>Fecha pasada</t>
  </si>
  <si>
    <t>20JAN17</t>
  </si>
  <si>
    <t>RIO</t>
  </si>
  <si>
    <t>CWB</t>
  </si>
  <si>
    <t>POA</t>
  </si>
  <si>
    <t>BHZ</t>
  </si>
  <si>
    <t>BSB</t>
  </si>
  <si>
    <t>SSA</t>
  </si>
  <si>
    <t>FOR</t>
  </si>
  <si>
    <t>REC</t>
  </si>
  <si>
    <t>BPS</t>
  </si>
  <si>
    <t>FLN</t>
  </si>
  <si>
    <t>MVD</t>
  </si>
  <si>
    <t>PDP</t>
  </si>
  <si>
    <t>LIM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</si>
</sst>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Fill="1" applyBorder="1" applyAlignment="1">
      <alignment horizontal="center" vertical="center" wrapText="1"/>
    </xf>
    <xf numFmtId="15" fontId="1" fillId="0" borderId="1" xfId="0" applyNumberFormat="1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vertical="center" wrapText="1"/>
    </xf>
    <xf numFmtId="0" fontId="1" fillId="0" borderId="1" xfId="0" applyFont="1" applyFill="1" applyBorder="1" applyAlignment="1">
      <alignment horizontal="left" vertical="center" wrapText="1"/>
    </xf>
    <xf numFmtId="0" fontId="0" fillId="2" borderId="1" xfId="0" applyFont="1" applyFill="1" applyBorder="1" applyAlignment="1">
      <alignment horizontal="center" vertical="center" wrapText="1"/>
    </xf>
    <xf numFmtId="16" fontId="0" fillId="2" borderId="1" xfId="0" applyNumberFormat="1" applyFont="1" applyFill="1" applyBorder="1" applyAlignment="1">
      <alignment horizontal="center" vertical="center" wrapText="1"/>
    </xf>
    <xf numFmtId="15" fontId="2" fillId="0" borderId="1" xfId="0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left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0" fillId="0" borderId="2" xfId="0" applyFont="1" applyBorder="1" applyAlignment="1">
      <alignment horizontal="left" vertical="center" wrapText="1"/>
    </xf>
    <xf numFmtId="16" fontId="0" fillId="0" borderId="2" xfId="0" applyNumberFormat="1" applyFont="1" applyFill="1" applyBorder="1" applyAlignment="1">
      <alignment horizontal="left" vertical="center" wrapText="1"/>
    </xf>
    <xf numFmtId="16" fontId="0" fillId="0" borderId="0" xfId="0" applyNumberFormat="1"/>
    <xf numFmtId="0" fontId="0" fillId="0" borderId="0" xfId="0" applyFont="1" applyBorder="1" applyAlignment="1">
      <alignment horizontal="left" vertical="center" wrapText="1"/>
    </xf>
    <xf numFmtId="0" fontId="0" fillId="0" borderId="0" xfId="0" applyFont="1" applyFill="1" applyBorder="1" applyAlignment="1">
      <alignment horizontal="left" vertical="center" wrapText="1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4" fillId="0" borderId="4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"/>
  <sheetViews>
    <sheetView zoomScale="130" zoomScaleNormal="130" workbookViewId="0">
      <selection activeCell="A2" sqref="A2:C4"/>
    </sheetView>
  </sheetViews>
  <sheetFormatPr defaultRowHeight="14.35" x14ac:dyDescent="0.5"/>
  <cols>
    <col min="3" max="3" width="13.52734375" bestFit="1" customWidth="1"/>
    <col min="4" max="4" width="26.8203125" bestFit="1" customWidth="1"/>
  </cols>
  <sheetData>
    <row r="1" spans="1:4" x14ac:dyDescent="0.5">
      <c r="A1" t="s">
        <v>0</v>
      </c>
      <c r="B1" t="s">
        <v>1</v>
      </c>
      <c r="C1" t="s">
        <v>2</v>
      </c>
      <c r="D1" t="s">
        <v>6</v>
      </c>
    </row>
    <row r="2" spans="1:4" x14ac:dyDescent="0.5">
      <c r="A2" t="s">
        <v>3</v>
      </c>
      <c r="B2" t="s">
        <v>4</v>
      </c>
      <c r="C2" t="s">
        <v>5</v>
      </c>
      <c r="D2" t="str">
        <f>"FQD"&amp;A2&amp;B2&amp;"/R,U*"&amp;C2&amp;"/MJJ"</f>
        <v>FQDGRUSCL/R,U*LOW/MJJ</v>
      </c>
    </row>
    <row r="3" spans="1:4" x14ac:dyDescent="0.5">
      <c r="A3" t="s">
        <v>3</v>
      </c>
      <c r="B3" t="s">
        <v>4</v>
      </c>
      <c r="C3" t="s">
        <v>7</v>
      </c>
      <c r="D3" t="str">
        <f>"FQD"&amp;A3&amp;B3&amp;"/R,U*"&amp;C3&amp;"/MJJ"</f>
        <v>FQDGRUSCL/R,U*PREMIUM/MJJ</v>
      </c>
    </row>
    <row r="4" spans="1:4" x14ac:dyDescent="0.5">
      <c r="A4" t="s">
        <v>3</v>
      </c>
      <c r="B4" t="s">
        <v>4</v>
      </c>
      <c r="C4" t="s">
        <v>15</v>
      </c>
      <c r="D4" t="str">
        <f>"FQD"&amp;A4&amp;B4&amp;"/R,U*"&amp;C4&amp;"/MJJ"</f>
        <v>FQDGRUSCL/R,U*JULI/MJJ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62"/>
  <sheetViews>
    <sheetView tabSelected="1" topLeftCell="I17" zoomScale="130" zoomScaleNormal="130" workbookViewId="0">
      <selection activeCell="H20" sqref="H20:M37"/>
    </sheetView>
  </sheetViews>
  <sheetFormatPr defaultRowHeight="14.35" x14ac:dyDescent="0.5"/>
  <cols>
    <col min="1" max="1" width="6.9375" bestFit="1" customWidth="1"/>
    <col min="2" max="2" width="7.64453125" bestFit="1" customWidth="1"/>
    <col min="3" max="3" width="13.52734375" bestFit="1" customWidth="1"/>
    <col min="4" max="4" width="5.46875" bestFit="1" customWidth="1"/>
    <col min="5" max="5" width="11.3515625" bestFit="1" customWidth="1"/>
    <col min="6" max="6" width="24.1171875" bestFit="1" customWidth="1"/>
    <col min="7" max="7" width="10.703125" bestFit="1" customWidth="1"/>
    <col min="8" max="8" width="40.52734375" bestFit="1" customWidth="1"/>
    <col min="9" max="10" width="46.52734375" bestFit="1" customWidth="1"/>
    <col min="11" max="11" width="23.46875" customWidth="1"/>
    <col min="12" max="12" width="30.52734375" customWidth="1"/>
  </cols>
  <sheetData>
    <row r="1" spans="1:13" ht="28.7" x14ac:dyDescent="0.5">
      <c r="A1" t="s">
        <v>0</v>
      </c>
      <c r="B1" t="s">
        <v>1</v>
      </c>
      <c r="C1" t="s">
        <v>2</v>
      </c>
      <c r="D1" t="s">
        <v>8</v>
      </c>
      <c r="E1" t="s">
        <v>56</v>
      </c>
      <c r="F1" s="1" t="s">
        <v>12</v>
      </c>
      <c r="G1" t="s">
        <v>9</v>
      </c>
      <c r="H1" t="s">
        <v>13</v>
      </c>
      <c r="I1" t="s">
        <v>14</v>
      </c>
    </row>
    <row r="2" spans="1:13" ht="15" customHeight="1" thickBot="1" x14ac:dyDescent="0.55000000000000004">
      <c r="A2" s="17" t="s">
        <v>55</v>
      </c>
      <c r="B2" s="18" t="s">
        <v>4</v>
      </c>
      <c r="C2" s="18" t="s">
        <v>7</v>
      </c>
      <c r="D2" s="18" t="s">
        <v>11</v>
      </c>
      <c r="E2" s="19" t="s">
        <v>57</v>
      </c>
      <c r="F2">
        <v>10</v>
      </c>
      <c r="G2" t="s">
        <v>10</v>
      </c>
      <c r="H2" t="str">
        <f t="shared" ref="H2:H4" si="0">"FQD"&amp;A2&amp;B2&amp;"/R,U*"&amp;C2&amp;"/MJJ/C"&amp;D2&amp;IF(E2&lt;&gt;"","/"&amp;UPPER(TEXT(E2,"[$-409]DDMMMYY")),"")&amp;";MD;MD;MD;"</f>
        <v>FQDSAOSCL/R,U*PREMIUM/MJJ/CT/20JAN17;MD;MD;MD;</v>
      </c>
      <c r="I2" s="1" t="str">
        <f>INDEX(Comando_tarifa($F2,$G2),1,COLUMNS($A$1:A$1))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2" s="1" t="str">
        <f>INDEX(Comando_tarifa($F2,$G2),1,COLUMNS($A$1:B$1))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2" s="1" t="str">
        <f>INDEX(Comando_tarifa($F2,$G2),1,COLUMNS($A$1:C$1))</f>
        <v>FQN1*11;FQN2*11;FQN3*11;FQN4*11;FQN5*11;FQN6*11;FQN7*11;FQN8*11;FQN9*11;FQN10*11;</v>
      </c>
      <c r="L2" s="1" t="str">
        <f>INDEX(Comando_tarifa($F2,$G2),1,COLUMNS($A$1:D$1))</f>
        <v>FQN1*14;FQN2*14;FQN3*14;FQN4*14;FQN5*14;FQN6*14;FQN7*14;FQN8*14;FQN9*14;FQN10*14;</v>
      </c>
      <c r="M2" s="1" t="str">
        <f>INDEX(Comando_tarifa($F2,$G2),1,COLUMNS($A$1:E$1))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3" spans="1:13" ht="15" customHeight="1" thickBot="1" x14ac:dyDescent="0.55000000000000004">
      <c r="A3" s="17" t="s">
        <v>58</v>
      </c>
      <c r="B3" s="18" t="s">
        <v>4</v>
      </c>
      <c r="C3" s="18" t="s">
        <v>7</v>
      </c>
      <c r="D3" s="18" t="s">
        <v>11</v>
      </c>
      <c r="E3" s="19" t="s">
        <v>57</v>
      </c>
      <c r="F3">
        <f t="shared" ref="F3:G5" si="1">F2</f>
        <v>10</v>
      </c>
      <c r="G3" t="str">
        <f t="shared" si="1"/>
        <v>3,4,11,14,15</v>
      </c>
      <c r="H3" t="str">
        <f t="shared" si="0"/>
        <v>FQDRIOSCL/R,U*PREMIUM/MJJ/CT/20JAN17;MD;MD;MD;</v>
      </c>
      <c r="I3" s="1" t="str">
        <f>INDEX(Comando_tarifa($F3,$G3),1,COLUMNS($A$1:A$1))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3" s="1" t="str">
        <f>INDEX(Comando_tarifa($F3,$G3),1,COLUMNS($A$1:B$1))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3" s="1" t="str">
        <f>INDEX(Comando_tarifa($F3,$G3),1,COLUMNS($A$1:C$1))</f>
        <v>FQN1*11;FQN2*11;FQN3*11;FQN4*11;FQN5*11;FQN6*11;FQN7*11;FQN8*11;FQN9*11;FQN10*11;</v>
      </c>
      <c r="L3" s="1" t="str">
        <f>INDEX(Comando_tarifa($F3,$G3),1,COLUMNS($A$1:D$1))</f>
        <v>FQN1*14;FQN2*14;FQN3*14;FQN4*14;FQN5*14;FQN6*14;FQN7*14;FQN8*14;FQN9*14;FQN10*14;</v>
      </c>
      <c r="M3" s="1" t="str">
        <f>INDEX(Comando_tarifa($F3,$G3),1,COLUMNS($A$1:E$1))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4" spans="1:13" ht="15" customHeight="1" thickBot="1" x14ac:dyDescent="0.55000000000000004">
      <c r="A4" s="17" t="s">
        <v>59</v>
      </c>
      <c r="B4" s="18" t="s">
        <v>4</v>
      </c>
      <c r="C4" s="18" t="s">
        <v>7</v>
      </c>
      <c r="D4" s="18" t="s">
        <v>11</v>
      </c>
      <c r="E4" s="19" t="s">
        <v>57</v>
      </c>
      <c r="F4">
        <f t="shared" si="1"/>
        <v>10</v>
      </c>
      <c r="G4" t="str">
        <f t="shared" si="1"/>
        <v>3,4,11,14,15</v>
      </c>
      <c r="H4" t="str">
        <f t="shared" si="0"/>
        <v>FQDCWBSCL/R,U*PREMIUM/MJJ/CT/20JAN17;MD;MD;MD;</v>
      </c>
      <c r="I4" s="1" t="str">
        <f>INDEX(Comando_tarifa($F4,$G4),1,COLUMNS($A$1:A$1))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4" s="1" t="str">
        <f>INDEX(Comando_tarifa($F4,$G4),1,COLUMNS($A$1:B$1))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4" s="1" t="str">
        <f>INDEX(Comando_tarifa($F4,$G4),1,COLUMNS($A$1:C$1))</f>
        <v>FQN1*11;FQN2*11;FQN3*11;FQN4*11;FQN5*11;FQN6*11;FQN7*11;FQN8*11;FQN9*11;FQN10*11;</v>
      </c>
      <c r="L4" s="1" t="str">
        <f>INDEX(Comando_tarifa($F4,$G4),1,COLUMNS($A$1:D$1))</f>
        <v>FQN1*14;FQN2*14;FQN3*14;FQN4*14;FQN5*14;FQN6*14;FQN7*14;FQN8*14;FQN9*14;FQN10*14;</v>
      </c>
      <c r="M4" s="1" t="str">
        <f>INDEX(Comando_tarifa($F4,$G4),1,COLUMNS($A$1:E$1))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5" spans="1:13" ht="15" customHeight="1" thickBot="1" x14ac:dyDescent="0.55000000000000004">
      <c r="A5" s="17" t="s">
        <v>60</v>
      </c>
      <c r="B5" s="18" t="s">
        <v>4</v>
      </c>
      <c r="C5" s="18" t="s">
        <v>7</v>
      </c>
      <c r="D5" s="18" t="s">
        <v>11</v>
      </c>
      <c r="E5" s="19" t="s">
        <v>57</v>
      </c>
      <c r="F5">
        <f t="shared" si="1"/>
        <v>10</v>
      </c>
      <c r="G5" t="str">
        <f t="shared" si="1"/>
        <v>3,4,11,14,15</v>
      </c>
      <c r="H5" t="str">
        <f>"FQD"&amp;A5&amp;B5&amp;"/R,U*"&amp;C5&amp;"/MJJ/C"&amp;D5&amp;IF(E5&lt;&gt;"","/"&amp;UPPER(TEXT(E5,"[$-409]DDMMMYY"))&amp;"**","")&amp;";MD;MD;MD;"</f>
        <v>FQDPOASCL/R,U*PREMIUM/MJJ/CT/20JAN17**;MD;MD;MD;</v>
      </c>
      <c r="I5" s="1" t="str">
        <f>INDEX(Comando_tarifa($F5,$G5),1,COLUMNS($A$1:A$1))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5" s="1" t="str">
        <f>INDEX(Comando_tarifa($F5,$G5),1,COLUMNS($A$1:B$1))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5" s="1" t="str">
        <f>INDEX(Comando_tarifa($F5,$G5),1,COLUMNS($A$1:C$1))</f>
        <v>FQN1*11;FQN2*11;FQN3*11;FQN4*11;FQN5*11;FQN6*11;FQN7*11;FQN8*11;FQN9*11;FQN10*11;</v>
      </c>
      <c r="L5" s="1" t="str">
        <f>INDEX(Comando_tarifa($F5,$G5),1,COLUMNS($A$1:D$1))</f>
        <v>FQN1*14;FQN2*14;FQN3*14;FQN4*14;FQN5*14;FQN6*14;FQN7*14;FQN8*14;FQN9*14;FQN10*14;</v>
      </c>
      <c r="M5" s="1" t="str">
        <f>INDEX(Comando_tarifa($F5,$G5),1,COLUMNS($A$1:E$1))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6" spans="1:13" ht="15" customHeight="1" thickBot="1" x14ac:dyDescent="0.55000000000000004">
      <c r="A6" s="17" t="s">
        <v>61</v>
      </c>
      <c r="B6" s="18" t="s">
        <v>4</v>
      </c>
      <c r="C6" s="18" t="s">
        <v>7</v>
      </c>
      <c r="D6" s="18" t="s">
        <v>11</v>
      </c>
      <c r="E6" s="19" t="s">
        <v>57</v>
      </c>
      <c r="F6">
        <f t="shared" ref="F6:G6" si="2">F5</f>
        <v>10</v>
      </c>
      <c r="G6" t="str">
        <f t="shared" si="2"/>
        <v>3,4,11,14,15</v>
      </c>
      <c r="H6" t="str">
        <f t="shared" ref="H6:H37" si="3">"FQD"&amp;A6&amp;B6&amp;"/R,U*"&amp;C6&amp;"/MJJ/C"&amp;D6&amp;IF(E6&lt;&gt;"","/"&amp;UPPER(TEXT(E6,"[$-409]DDMMMYY"))&amp;"**","")&amp;";MD;MD;MD;"</f>
        <v>FQDBHZSCL/R,U*PREMIUM/MJJ/CT/20JAN17**;MD;MD;MD;</v>
      </c>
      <c r="I6" s="1" t="str">
        <f>INDEX(Comando_tarifa($F6,$G6),1,COLUMNS($A$1:A$1))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6" s="1" t="str">
        <f>INDEX(Comando_tarifa($F6,$G6),1,COLUMNS($A$1:B$1))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6" s="1" t="str">
        <f>INDEX(Comando_tarifa($F6,$G6),1,COLUMNS($A$1:C$1))</f>
        <v>FQN1*11;FQN2*11;FQN3*11;FQN4*11;FQN5*11;FQN6*11;FQN7*11;FQN8*11;FQN9*11;FQN10*11;</v>
      </c>
      <c r="L6" s="1" t="str">
        <f>INDEX(Comando_tarifa($F6,$G6),1,COLUMNS($A$1:D$1))</f>
        <v>FQN1*14;FQN2*14;FQN3*14;FQN4*14;FQN5*14;FQN6*14;FQN7*14;FQN8*14;FQN9*14;FQN10*14;</v>
      </c>
      <c r="M6" s="1" t="str">
        <f>INDEX(Comando_tarifa($F6,$G6),1,COLUMNS($A$1:E$1))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7" spans="1:13" ht="15" customHeight="1" thickBot="1" x14ac:dyDescent="0.55000000000000004">
      <c r="A7" s="17" t="s">
        <v>62</v>
      </c>
      <c r="B7" s="18" t="s">
        <v>4</v>
      </c>
      <c r="C7" s="18" t="s">
        <v>7</v>
      </c>
      <c r="D7" s="18" t="s">
        <v>11</v>
      </c>
      <c r="E7" s="19" t="s">
        <v>57</v>
      </c>
      <c r="F7">
        <f t="shared" ref="F7:G7" si="4">F6</f>
        <v>10</v>
      </c>
      <c r="G7" t="str">
        <f t="shared" si="4"/>
        <v>3,4,11,14,15</v>
      </c>
      <c r="H7" t="str">
        <f t="shared" si="3"/>
        <v>FQDBSBSCL/R,U*PREMIUM/MJJ/CT/20JAN17**;MD;MD;MD;</v>
      </c>
      <c r="I7" s="1" t="str">
        <f>INDEX(Comando_tarifa($F7,$G7),1,COLUMNS($A$1:A$1))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7" s="1" t="str">
        <f>INDEX(Comando_tarifa($F7,$G7),1,COLUMNS($A$1:B$1))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7" s="1" t="str">
        <f>INDEX(Comando_tarifa($F7,$G7),1,COLUMNS($A$1:C$1))</f>
        <v>FQN1*11;FQN2*11;FQN3*11;FQN4*11;FQN5*11;FQN6*11;FQN7*11;FQN8*11;FQN9*11;FQN10*11;</v>
      </c>
      <c r="L7" s="1" t="str">
        <f>INDEX(Comando_tarifa($F7,$G7),1,COLUMNS($A$1:D$1))</f>
        <v>FQN1*14;FQN2*14;FQN3*14;FQN4*14;FQN5*14;FQN6*14;FQN7*14;FQN8*14;FQN9*14;FQN10*14;</v>
      </c>
      <c r="M7" s="1" t="str">
        <f>INDEX(Comando_tarifa($F7,$G7),1,COLUMNS($A$1:E$1))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8" spans="1:13" ht="15" customHeight="1" thickBot="1" x14ac:dyDescent="0.55000000000000004">
      <c r="A8" s="17" t="s">
        <v>63</v>
      </c>
      <c r="B8" s="18" t="s">
        <v>4</v>
      </c>
      <c r="C8" s="18" t="s">
        <v>7</v>
      </c>
      <c r="D8" s="18" t="s">
        <v>11</v>
      </c>
      <c r="E8" s="19" t="s">
        <v>57</v>
      </c>
      <c r="F8">
        <f t="shared" ref="F8:G8" si="5">F7</f>
        <v>10</v>
      </c>
      <c r="G8" t="str">
        <f t="shared" si="5"/>
        <v>3,4,11,14,15</v>
      </c>
      <c r="H8" t="str">
        <f t="shared" si="3"/>
        <v>FQDSSASCL/R,U*PREMIUM/MJJ/CT/20JAN17**;MD;MD;MD;</v>
      </c>
      <c r="I8" s="1" t="str">
        <f>INDEX(Comando_tarifa($F8,$G8),1,COLUMNS($A$1:A$1))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8" s="1" t="str">
        <f>INDEX(Comando_tarifa($F8,$G8),1,COLUMNS($A$1:B$1))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8" s="1" t="str">
        <f>INDEX(Comando_tarifa($F8,$G8),1,COLUMNS($A$1:C$1))</f>
        <v>FQN1*11;FQN2*11;FQN3*11;FQN4*11;FQN5*11;FQN6*11;FQN7*11;FQN8*11;FQN9*11;FQN10*11;</v>
      </c>
      <c r="L8" s="1" t="str">
        <f>INDEX(Comando_tarifa($F8,$G8),1,COLUMNS($A$1:D$1))</f>
        <v>FQN1*14;FQN2*14;FQN3*14;FQN4*14;FQN5*14;FQN6*14;FQN7*14;FQN8*14;FQN9*14;FQN10*14;</v>
      </c>
      <c r="M8" s="1" t="str">
        <f>INDEX(Comando_tarifa($F8,$G8),1,COLUMNS($A$1:E$1))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9" spans="1:13" ht="15" customHeight="1" thickBot="1" x14ac:dyDescent="0.55000000000000004">
      <c r="A9" s="17" t="s">
        <v>64</v>
      </c>
      <c r="B9" s="18" t="s">
        <v>4</v>
      </c>
      <c r="C9" s="18" t="s">
        <v>7</v>
      </c>
      <c r="D9" s="18" t="s">
        <v>11</v>
      </c>
      <c r="E9" s="19" t="s">
        <v>57</v>
      </c>
      <c r="F9">
        <f t="shared" ref="F9:G9" si="6">F8</f>
        <v>10</v>
      </c>
      <c r="G9" t="str">
        <f t="shared" si="6"/>
        <v>3,4,11,14,15</v>
      </c>
      <c r="H9" t="str">
        <f t="shared" si="3"/>
        <v>FQDFORSCL/R,U*PREMIUM/MJJ/CT/20JAN17**;MD;MD;MD;</v>
      </c>
      <c r="I9" s="1" t="str">
        <f>INDEX(Comando_tarifa($F9,$G9),1,COLUMNS($A$1:A$1))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9" s="1" t="str">
        <f>INDEX(Comando_tarifa($F9,$G9),1,COLUMNS($A$1:B$1))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9" s="1" t="str">
        <f>INDEX(Comando_tarifa($F9,$G9),1,COLUMNS($A$1:C$1))</f>
        <v>FQN1*11;FQN2*11;FQN3*11;FQN4*11;FQN5*11;FQN6*11;FQN7*11;FQN8*11;FQN9*11;FQN10*11;</v>
      </c>
      <c r="L9" s="1" t="str">
        <f>INDEX(Comando_tarifa($F9,$G9),1,COLUMNS($A$1:D$1))</f>
        <v>FQN1*14;FQN2*14;FQN3*14;FQN4*14;FQN5*14;FQN6*14;FQN7*14;FQN8*14;FQN9*14;FQN10*14;</v>
      </c>
      <c r="M9" s="1" t="str">
        <f>INDEX(Comando_tarifa($F9,$G9),1,COLUMNS($A$1:E$1))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10" spans="1:13" ht="15" customHeight="1" thickBot="1" x14ac:dyDescent="0.55000000000000004">
      <c r="A10" s="17" t="s">
        <v>65</v>
      </c>
      <c r="B10" s="18" t="s">
        <v>4</v>
      </c>
      <c r="C10" s="18" t="s">
        <v>7</v>
      </c>
      <c r="D10" s="18" t="s">
        <v>11</v>
      </c>
      <c r="E10" s="19" t="s">
        <v>57</v>
      </c>
      <c r="F10">
        <f t="shared" ref="F10:G10" si="7">F9</f>
        <v>10</v>
      </c>
      <c r="G10" t="str">
        <f t="shared" si="7"/>
        <v>3,4,11,14,15</v>
      </c>
      <c r="H10" t="str">
        <f t="shared" si="3"/>
        <v>FQDRECSCL/R,U*PREMIUM/MJJ/CT/20JAN17**;MD;MD;MD;</v>
      </c>
      <c r="I10" s="1" t="str">
        <f>INDEX(Comando_tarifa($F10,$G10),1,COLUMNS($A$1:A$1))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10" s="1" t="str">
        <f>INDEX(Comando_tarifa($F10,$G10),1,COLUMNS($A$1:B$1))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10" s="1" t="str">
        <f>INDEX(Comando_tarifa($F10,$G10),1,COLUMNS($A$1:C$1))</f>
        <v>FQN1*11;FQN2*11;FQN3*11;FQN4*11;FQN5*11;FQN6*11;FQN7*11;FQN8*11;FQN9*11;FQN10*11;</v>
      </c>
      <c r="L10" s="1" t="str">
        <f>INDEX(Comando_tarifa($F10,$G10),1,COLUMNS($A$1:D$1))</f>
        <v>FQN1*14;FQN2*14;FQN3*14;FQN4*14;FQN5*14;FQN6*14;FQN7*14;FQN8*14;FQN9*14;FQN10*14;</v>
      </c>
      <c r="M10" s="1" t="str">
        <f>INDEX(Comando_tarifa($F10,$G10),1,COLUMNS($A$1:E$1))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11" spans="1:13" ht="15" customHeight="1" thickBot="1" x14ac:dyDescent="0.55000000000000004">
      <c r="A11" s="17" t="s">
        <v>66</v>
      </c>
      <c r="B11" s="18" t="s">
        <v>4</v>
      </c>
      <c r="C11" s="18" t="s">
        <v>7</v>
      </c>
      <c r="D11" s="18" t="s">
        <v>11</v>
      </c>
      <c r="E11" s="19" t="s">
        <v>57</v>
      </c>
      <c r="F11">
        <f t="shared" ref="F11:G11" si="8">F10</f>
        <v>10</v>
      </c>
      <c r="G11" t="str">
        <f t="shared" si="8"/>
        <v>3,4,11,14,15</v>
      </c>
      <c r="H11" t="str">
        <f t="shared" si="3"/>
        <v>FQDBPSSCL/R,U*PREMIUM/MJJ/CT/20JAN17**;MD;MD;MD;</v>
      </c>
      <c r="I11" s="1" t="str">
        <f>INDEX(Comando_tarifa($F11,$G11),1,COLUMNS($A$1:A$1))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11" s="1" t="str">
        <f>INDEX(Comando_tarifa($F11,$G11),1,COLUMNS($A$1:B$1))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11" s="1" t="str">
        <f>INDEX(Comando_tarifa($F11,$G11),1,COLUMNS($A$1:C$1))</f>
        <v>FQN1*11;FQN2*11;FQN3*11;FQN4*11;FQN5*11;FQN6*11;FQN7*11;FQN8*11;FQN9*11;FQN10*11;</v>
      </c>
      <c r="L11" s="1" t="str">
        <f>INDEX(Comando_tarifa($F11,$G11),1,COLUMNS($A$1:D$1))</f>
        <v>FQN1*14;FQN2*14;FQN3*14;FQN4*14;FQN5*14;FQN6*14;FQN7*14;FQN8*14;FQN9*14;FQN10*14;</v>
      </c>
      <c r="M11" s="1" t="str">
        <f>INDEX(Comando_tarifa($F11,$G11),1,COLUMNS($A$1:E$1))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12" spans="1:13" ht="15" customHeight="1" thickBot="1" x14ac:dyDescent="0.55000000000000004">
      <c r="A12" s="17" t="s">
        <v>67</v>
      </c>
      <c r="B12" s="18" t="s">
        <v>4</v>
      </c>
      <c r="C12" s="18" t="s">
        <v>7</v>
      </c>
      <c r="D12" s="18" t="s">
        <v>11</v>
      </c>
      <c r="E12" s="19" t="s">
        <v>57</v>
      </c>
      <c r="F12">
        <f t="shared" ref="F12:G12" si="9">F11</f>
        <v>10</v>
      </c>
      <c r="G12" t="str">
        <f t="shared" si="9"/>
        <v>3,4,11,14,15</v>
      </c>
      <c r="H12" t="str">
        <f t="shared" si="3"/>
        <v>FQDFLNSCL/R,U*PREMIUM/MJJ/CT/20JAN17**;MD;MD;MD;</v>
      </c>
      <c r="I12" s="1" t="str">
        <f>INDEX(Comando_tarifa($F12,$G12),1,COLUMNS($A$1:A$1))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12" s="1" t="str">
        <f>INDEX(Comando_tarifa($F12,$G12),1,COLUMNS($A$1:B$1))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12" s="1" t="str">
        <f>INDEX(Comando_tarifa($F12,$G12),1,COLUMNS($A$1:C$1))</f>
        <v>FQN1*11;FQN2*11;FQN3*11;FQN4*11;FQN5*11;FQN6*11;FQN7*11;FQN8*11;FQN9*11;FQN10*11;</v>
      </c>
      <c r="L12" s="1" t="str">
        <f>INDEX(Comando_tarifa($F12,$G12),1,COLUMNS($A$1:D$1))</f>
        <v>FQN1*14;FQN2*14;FQN3*14;FQN4*14;FQN5*14;FQN6*14;FQN7*14;FQN8*14;FQN9*14;FQN10*14;</v>
      </c>
      <c r="M12" s="1" t="str">
        <f>INDEX(Comando_tarifa($F12,$G12),1,COLUMNS($A$1:E$1))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13" spans="1:13" ht="15" customHeight="1" thickBot="1" x14ac:dyDescent="0.55000000000000004">
      <c r="A13" s="17" t="s">
        <v>55</v>
      </c>
      <c r="B13" s="18" t="s">
        <v>68</v>
      </c>
      <c r="C13" s="18" t="s">
        <v>7</v>
      </c>
      <c r="D13" s="18" t="s">
        <v>11</v>
      </c>
      <c r="E13" s="19" t="s">
        <v>57</v>
      </c>
      <c r="F13">
        <f t="shared" ref="F13:G13" si="10">F12</f>
        <v>10</v>
      </c>
      <c r="G13" t="str">
        <f t="shared" si="10"/>
        <v>3,4,11,14,15</v>
      </c>
      <c r="H13" t="str">
        <f t="shared" si="3"/>
        <v>FQDSAOMVD/R,U*PREMIUM/MJJ/CT/20JAN17**;MD;MD;MD;</v>
      </c>
      <c r="I13" s="1" t="str">
        <f>INDEX(Comando_tarifa($F13,$G13),1,COLUMNS($A$1:A$1))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13" s="1" t="str">
        <f>INDEX(Comando_tarifa($F13,$G13),1,COLUMNS($A$1:B$1))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13" s="1" t="str">
        <f>INDEX(Comando_tarifa($F13,$G13),1,COLUMNS($A$1:C$1))</f>
        <v>FQN1*11;FQN2*11;FQN3*11;FQN4*11;FQN5*11;FQN6*11;FQN7*11;FQN8*11;FQN9*11;FQN10*11;</v>
      </c>
      <c r="L13" s="1" t="str">
        <f>INDEX(Comando_tarifa($F13,$G13),1,COLUMNS($A$1:D$1))</f>
        <v>FQN1*14;FQN2*14;FQN3*14;FQN4*14;FQN5*14;FQN6*14;FQN7*14;FQN8*14;FQN9*14;FQN10*14;</v>
      </c>
      <c r="M13" s="1" t="str">
        <f>INDEX(Comando_tarifa($F13,$G13),1,COLUMNS($A$1:E$1))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14" spans="1:13" ht="15" customHeight="1" thickBot="1" x14ac:dyDescent="0.55000000000000004">
      <c r="A14" s="17" t="s">
        <v>58</v>
      </c>
      <c r="B14" s="18" t="s">
        <v>68</v>
      </c>
      <c r="C14" s="18" t="s">
        <v>7</v>
      </c>
      <c r="D14" s="18" t="s">
        <v>11</v>
      </c>
      <c r="E14" s="19" t="s">
        <v>57</v>
      </c>
      <c r="F14">
        <f t="shared" ref="F14:G14" si="11">F13</f>
        <v>10</v>
      </c>
      <c r="G14" t="str">
        <f t="shared" si="11"/>
        <v>3,4,11,14,15</v>
      </c>
      <c r="H14" t="str">
        <f t="shared" si="3"/>
        <v>FQDRIOMVD/R,U*PREMIUM/MJJ/CT/20JAN17**;MD;MD;MD;</v>
      </c>
      <c r="I14" s="1" t="str">
        <f>INDEX(Comando_tarifa($F14,$G14),1,COLUMNS($A$1:A$1))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14" s="1" t="str">
        <f>INDEX(Comando_tarifa($F14,$G14),1,COLUMNS($A$1:B$1))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14" s="1" t="str">
        <f>INDEX(Comando_tarifa($F14,$G14),1,COLUMNS($A$1:C$1))</f>
        <v>FQN1*11;FQN2*11;FQN3*11;FQN4*11;FQN5*11;FQN6*11;FQN7*11;FQN8*11;FQN9*11;FQN10*11;</v>
      </c>
      <c r="L14" s="1" t="str">
        <f>INDEX(Comando_tarifa($F14,$G14),1,COLUMNS($A$1:D$1))</f>
        <v>FQN1*14;FQN2*14;FQN3*14;FQN4*14;FQN5*14;FQN6*14;FQN7*14;FQN8*14;FQN9*14;FQN10*14;</v>
      </c>
      <c r="M14" s="1" t="str">
        <f>INDEX(Comando_tarifa($F14,$G14),1,COLUMNS($A$1:E$1))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15" spans="1:13" ht="15" customHeight="1" thickBot="1" x14ac:dyDescent="0.55000000000000004">
      <c r="A15" s="17" t="s">
        <v>55</v>
      </c>
      <c r="B15" s="18" t="s">
        <v>69</v>
      </c>
      <c r="C15" s="18" t="s">
        <v>7</v>
      </c>
      <c r="D15" s="18" t="s">
        <v>11</v>
      </c>
      <c r="E15" s="19" t="s">
        <v>57</v>
      </c>
      <c r="F15">
        <f t="shared" ref="F15:G15" si="12">F14</f>
        <v>10</v>
      </c>
      <c r="G15" t="str">
        <f t="shared" si="12"/>
        <v>3,4,11,14,15</v>
      </c>
      <c r="H15" t="str">
        <f t="shared" si="3"/>
        <v>FQDSAOPDP/R,U*PREMIUM/MJJ/CT/20JAN17**;MD;MD;MD;</v>
      </c>
      <c r="I15" s="1" t="str">
        <f>INDEX(Comando_tarifa($F15,$G15),1,COLUMNS($A$1:A$1))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15" s="1" t="str">
        <f>INDEX(Comando_tarifa($F15,$G15),1,COLUMNS($A$1:B$1))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15" s="1" t="str">
        <f>INDEX(Comando_tarifa($F15,$G15),1,COLUMNS($A$1:C$1))</f>
        <v>FQN1*11;FQN2*11;FQN3*11;FQN4*11;FQN5*11;FQN6*11;FQN7*11;FQN8*11;FQN9*11;FQN10*11;</v>
      </c>
      <c r="L15" s="1" t="str">
        <f>INDEX(Comando_tarifa($F15,$G15),1,COLUMNS($A$1:D$1))</f>
        <v>FQN1*14;FQN2*14;FQN3*14;FQN4*14;FQN5*14;FQN6*14;FQN7*14;FQN8*14;FQN9*14;FQN10*14;</v>
      </c>
      <c r="M15" s="1" t="str">
        <f>INDEX(Comando_tarifa($F15,$G15),1,COLUMNS($A$1:E$1))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16" spans="1:13" ht="15" customHeight="1" thickBot="1" x14ac:dyDescent="0.55000000000000004">
      <c r="A16" s="17" t="s">
        <v>55</v>
      </c>
      <c r="B16" s="18" t="s">
        <v>70</v>
      </c>
      <c r="C16" s="18" t="s">
        <v>7</v>
      </c>
      <c r="D16" s="18" t="s">
        <v>11</v>
      </c>
      <c r="E16" s="19" t="s">
        <v>57</v>
      </c>
      <c r="F16">
        <f t="shared" ref="F16:G16" si="13">F15</f>
        <v>10</v>
      </c>
      <c r="G16" t="str">
        <f t="shared" si="13"/>
        <v>3,4,11,14,15</v>
      </c>
      <c r="H16" t="str">
        <f t="shared" si="3"/>
        <v>FQDSAOLIM/R,U*PREMIUM/MJJ/CT/20JAN17**;MD;MD;MD;</v>
      </c>
      <c r="I16" s="1" t="str">
        <f>INDEX(Comando_tarifa($F16,$G16),1,COLUMNS($A$1:A$1))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16" s="1" t="str">
        <f>INDEX(Comando_tarifa($F16,$G16),1,COLUMNS($A$1:B$1))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16" s="1" t="str">
        <f>INDEX(Comando_tarifa($F16,$G16),1,COLUMNS($A$1:C$1))</f>
        <v>FQN1*11;FQN2*11;FQN3*11;FQN4*11;FQN5*11;FQN6*11;FQN7*11;FQN8*11;FQN9*11;FQN10*11;</v>
      </c>
      <c r="L16" s="1" t="str">
        <f>INDEX(Comando_tarifa($F16,$G16),1,COLUMNS($A$1:D$1))</f>
        <v>FQN1*14;FQN2*14;FQN3*14;FQN4*14;FQN5*14;FQN6*14;FQN7*14;FQN8*14;FQN9*14;FQN10*14;</v>
      </c>
      <c r="M16" s="1" t="str">
        <f>INDEX(Comando_tarifa($F16,$G16),1,COLUMNS($A$1:E$1))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17" spans="1:13" ht="15" customHeight="1" thickBot="1" x14ac:dyDescent="0.55000000000000004">
      <c r="A17" s="17" t="s">
        <v>58</v>
      </c>
      <c r="B17" s="18" t="s">
        <v>70</v>
      </c>
      <c r="C17" s="18" t="s">
        <v>7</v>
      </c>
      <c r="D17" s="18" t="s">
        <v>11</v>
      </c>
      <c r="E17" s="19" t="s">
        <v>57</v>
      </c>
      <c r="F17">
        <f t="shared" ref="F17:G17" si="14">F16</f>
        <v>10</v>
      </c>
      <c r="G17" t="str">
        <f t="shared" si="14"/>
        <v>3,4,11,14,15</v>
      </c>
      <c r="H17" t="str">
        <f t="shared" si="3"/>
        <v>FQDRIOLIM/R,U*PREMIUM/MJJ/CT/20JAN17**;MD;MD;MD;</v>
      </c>
      <c r="I17" s="1" t="str">
        <f>INDEX(Comando_tarifa($F17,$G17),1,COLUMNS($A$1:A$1))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17" s="1" t="str">
        <f>INDEX(Comando_tarifa($F17,$G17),1,COLUMNS($A$1:B$1))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17" s="1" t="str">
        <f>INDEX(Comando_tarifa($F17,$G17),1,COLUMNS($A$1:C$1))</f>
        <v>FQN1*11;FQN2*11;FQN3*11;FQN4*11;FQN5*11;FQN6*11;FQN7*11;FQN8*11;FQN9*11;FQN10*11;</v>
      </c>
      <c r="L17" s="1" t="str">
        <f>INDEX(Comando_tarifa($F17,$G17),1,COLUMNS($A$1:D$1))</f>
        <v>FQN1*14;FQN2*14;FQN3*14;FQN4*14;FQN5*14;FQN6*14;FQN7*14;FQN8*14;FQN9*14;FQN10*14;</v>
      </c>
      <c r="M17" s="1" t="str">
        <f>INDEX(Comando_tarifa($F17,$G17),1,COLUMNS($A$1:E$1))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18" spans="1:13" ht="15" customHeight="1" thickBot="1" x14ac:dyDescent="0.55000000000000004">
      <c r="A18" s="17" t="s">
        <v>59</v>
      </c>
      <c r="B18" s="18" t="s">
        <v>70</v>
      </c>
      <c r="C18" s="18" t="s">
        <v>7</v>
      </c>
      <c r="D18" s="18" t="s">
        <v>11</v>
      </c>
      <c r="E18" s="19" t="s">
        <v>57</v>
      </c>
      <c r="F18">
        <f t="shared" ref="F18:G18" si="15">F17</f>
        <v>10</v>
      </c>
      <c r="G18" t="str">
        <f t="shared" si="15"/>
        <v>3,4,11,14,15</v>
      </c>
      <c r="H18" t="str">
        <f t="shared" si="3"/>
        <v>FQDCWBLIM/R,U*PREMIUM/MJJ/CT/20JAN17**;MD;MD;MD;</v>
      </c>
      <c r="I18" s="1" t="str">
        <f>INDEX(Comando_tarifa($F18,$G18),1,COLUMNS($A$1:A$1))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18" s="1" t="str">
        <f>INDEX(Comando_tarifa($F18,$G18),1,COLUMNS($A$1:B$1))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18" s="1" t="str">
        <f>INDEX(Comando_tarifa($F18,$G18),1,COLUMNS($A$1:C$1))</f>
        <v>FQN1*11;FQN2*11;FQN3*11;FQN4*11;FQN5*11;FQN6*11;FQN7*11;FQN8*11;FQN9*11;FQN10*11;</v>
      </c>
      <c r="L18" s="1" t="str">
        <f>INDEX(Comando_tarifa($F18,$G18),1,COLUMNS($A$1:D$1))</f>
        <v>FQN1*14;FQN2*14;FQN3*14;FQN4*14;FQN5*14;FQN6*14;FQN7*14;FQN8*14;FQN9*14;FQN10*14;</v>
      </c>
      <c r="M18" s="1" t="str">
        <f>INDEX(Comando_tarifa($F18,$G18),1,COLUMNS($A$1:E$1))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19" spans="1:13" ht="15" customHeight="1" thickBot="1" x14ac:dyDescent="0.55000000000000004">
      <c r="A19" s="17" t="s">
        <v>60</v>
      </c>
      <c r="B19" s="18" t="s">
        <v>70</v>
      </c>
      <c r="C19" s="18" t="s">
        <v>7</v>
      </c>
      <c r="D19" s="18" t="s">
        <v>11</v>
      </c>
      <c r="E19" s="19" t="s">
        <v>57</v>
      </c>
      <c r="F19">
        <f t="shared" ref="F19:G19" si="16">F18</f>
        <v>10</v>
      </c>
      <c r="G19" t="str">
        <f t="shared" si="16"/>
        <v>3,4,11,14,15</v>
      </c>
      <c r="H19" t="str">
        <f t="shared" si="3"/>
        <v>FQDPOALIM/R,U*PREMIUM/MJJ/CT/20JAN17**;MD;MD;MD;</v>
      </c>
      <c r="I19" s="1" t="str">
        <f>INDEX(Comando_tarifa($F19,$G19),1,COLUMNS($A$1:A$1))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19" s="1" t="str">
        <f>INDEX(Comando_tarifa($F19,$G19),1,COLUMNS($A$1:B$1))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19" s="1" t="str">
        <f>INDEX(Comando_tarifa($F19,$G19),1,COLUMNS($A$1:C$1))</f>
        <v>FQN1*11;FQN2*11;FQN3*11;FQN4*11;FQN5*11;FQN6*11;FQN7*11;FQN8*11;FQN9*11;FQN10*11;</v>
      </c>
      <c r="L19" s="1" t="str">
        <f>INDEX(Comando_tarifa($F19,$G19),1,COLUMNS($A$1:D$1))</f>
        <v>FQN1*14;FQN2*14;FQN3*14;FQN4*14;FQN5*14;FQN6*14;FQN7*14;FQN8*14;FQN9*14;FQN10*14;</v>
      </c>
      <c r="M19" s="1" t="str">
        <f>INDEX(Comando_tarifa($F19,$G19),1,COLUMNS($A$1:E$1))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20" spans="1:13" ht="15" customHeight="1" thickBot="1" x14ac:dyDescent="0.55000000000000004">
      <c r="A20" s="17" t="s">
        <v>55</v>
      </c>
      <c r="B20" s="18" t="s">
        <v>4</v>
      </c>
      <c r="C20" s="18" t="s">
        <v>5</v>
      </c>
      <c r="D20" s="18" t="s">
        <v>11</v>
      </c>
      <c r="E20" s="19" t="s">
        <v>57</v>
      </c>
      <c r="F20">
        <f t="shared" ref="F20:G20" si="17">F19</f>
        <v>10</v>
      </c>
      <c r="G20" t="str">
        <f t="shared" si="17"/>
        <v>3,4,11,14,15</v>
      </c>
      <c r="H20" t="str">
        <f t="shared" si="3"/>
        <v>FQDSAOSCL/R,U*LOW/MJJ/CT/20JAN17**;MD;MD;MD;</v>
      </c>
      <c r="I20" s="1" t="str">
        <f>INDEX(Comando_tarifa($F20,$G20),1,COLUMNS($A$1:A$1))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20" s="1" t="str">
        <f>INDEX(Comando_tarifa($F20,$G20),1,COLUMNS($A$1:B$1))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20" s="1" t="str">
        <f>INDEX(Comando_tarifa($F20,$G20),1,COLUMNS($A$1:C$1))</f>
        <v>FQN1*11;FQN2*11;FQN3*11;FQN4*11;FQN5*11;FQN6*11;FQN7*11;FQN8*11;FQN9*11;FQN10*11;</v>
      </c>
      <c r="L20" s="1" t="str">
        <f>INDEX(Comando_tarifa($F20,$G20),1,COLUMNS($A$1:D$1))</f>
        <v>FQN1*14;FQN2*14;FQN3*14;FQN4*14;FQN5*14;FQN6*14;FQN7*14;FQN8*14;FQN9*14;FQN10*14;</v>
      </c>
      <c r="M20" s="1" t="str">
        <f>INDEX(Comando_tarifa($F20,$G20),1,COLUMNS($A$1:E$1))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21" spans="1:13" ht="15" customHeight="1" thickBot="1" x14ac:dyDescent="0.55000000000000004">
      <c r="A21" s="17" t="s">
        <v>58</v>
      </c>
      <c r="B21" s="18" t="s">
        <v>4</v>
      </c>
      <c r="C21" s="18" t="s">
        <v>5</v>
      </c>
      <c r="D21" s="18" t="s">
        <v>11</v>
      </c>
      <c r="E21" s="19" t="s">
        <v>57</v>
      </c>
      <c r="F21">
        <f t="shared" ref="F21:G21" si="18">F20</f>
        <v>10</v>
      </c>
      <c r="G21" t="str">
        <f t="shared" si="18"/>
        <v>3,4,11,14,15</v>
      </c>
      <c r="H21" t="str">
        <f t="shared" si="3"/>
        <v>FQDRIOSCL/R,U*LOW/MJJ/CT/20JAN17**;MD;MD;MD;</v>
      </c>
      <c r="I21" s="1" t="str">
        <f>INDEX(Comando_tarifa($F21,$G21),1,COLUMNS($A$1:A$1))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21" s="1" t="str">
        <f>INDEX(Comando_tarifa($F21,$G21),1,COLUMNS($A$1:B$1))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21" s="1" t="str">
        <f>INDEX(Comando_tarifa($F21,$G21),1,COLUMNS($A$1:C$1))</f>
        <v>FQN1*11;FQN2*11;FQN3*11;FQN4*11;FQN5*11;FQN6*11;FQN7*11;FQN8*11;FQN9*11;FQN10*11;</v>
      </c>
      <c r="L21" s="1" t="str">
        <f>INDEX(Comando_tarifa($F21,$G21),1,COLUMNS($A$1:D$1))</f>
        <v>FQN1*14;FQN2*14;FQN3*14;FQN4*14;FQN5*14;FQN6*14;FQN7*14;FQN8*14;FQN9*14;FQN10*14;</v>
      </c>
      <c r="M21" s="1" t="str">
        <f>INDEX(Comando_tarifa($F21,$G21),1,COLUMNS($A$1:E$1))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22" spans="1:13" ht="15" customHeight="1" thickBot="1" x14ac:dyDescent="0.55000000000000004">
      <c r="A22" s="17" t="s">
        <v>59</v>
      </c>
      <c r="B22" s="18" t="s">
        <v>4</v>
      </c>
      <c r="C22" s="18" t="s">
        <v>5</v>
      </c>
      <c r="D22" s="18" t="s">
        <v>11</v>
      </c>
      <c r="E22" s="19" t="s">
        <v>57</v>
      </c>
      <c r="F22">
        <f t="shared" ref="F22:G22" si="19">F21</f>
        <v>10</v>
      </c>
      <c r="G22" t="str">
        <f t="shared" si="19"/>
        <v>3,4,11,14,15</v>
      </c>
      <c r="H22" t="str">
        <f t="shared" si="3"/>
        <v>FQDCWBSCL/R,U*LOW/MJJ/CT/20JAN17**;MD;MD;MD;</v>
      </c>
      <c r="I22" s="1" t="str">
        <f>INDEX(Comando_tarifa($F22,$G22),1,COLUMNS($A$1:A$1))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22" s="1" t="str">
        <f>INDEX(Comando_tarifa($F22,$G22),1,COLUMNS($A$1:B$1))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22" s="1" t="str">
        <f>INDEX(Comando_tarifa($F22,$G22),1,COLUMNS($A$1:C$1))</f>
        <v>FQN1*11;FQN2*11;FQN3*11;FQN4*11;FQN5*11;FQN6*11;FQN7*11;FQN8*11;FQN9*11;FQN10*11;</v>
      </c>
      <c r="L22" s="1" t="str">
        <f>INDEX(Comando_tarifa($F22,$G22),1,COLUMNS($A$1:D$1))</f>
        <v>FQN1*14;FQN2*14;FQN3*14;FQN4*14;FQN5*14;FQN6*14;FQN7*14;FQN8*14;FQN9*14;FQN10*14;</v>
      </c>
      <c r="M22" s="1" t="str">
        <f>INDEX(Comando_tarifa($F22,$G22),1,COLUMNS($A$1:E$1))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23" spans="1:13" ht="15" customHeight="1" thickBot="1" x14ac:dyDescent="0.55000000000000004">
      <c r="A23" s="17" t="s">
        <v>60</v>
      </c>
      <c r="B23" s="18" t="s">
        <v>4</v>
      </c>
      <c r="C23" s="18" t="s">
        <v>5</v>
      </c>
      <c r="D23" s="18" t="s">
        <v>11</v>
      </c>
      <c r="E23" s="19" t="s">
        <v>57</v>
      </c>
      <c r="F23">
        <f t="shared" ref="F23:G23" si="20">F22</f>
        <v>10</v>
      </c>
      <c r="G23" t="str">
        <f t="shared" si="20"/>
        <v>3,4,11,14,15</v>
      </c>
      <c r="H23" t="str">
        <f t="shared" si="3"/>
        <v>FQDPOASCL/R,U*LOW/MJJ/CT/20JAN17**;MD;MD;MD;</v>
      </c>
      <c r="I23" s="1" t="str">
        <f>INDEX(Comando_tarifa($F23,$G23),1,COLUMNS($A$1:A$1))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23" s="1" t="str">
        <f>INDEX(Comando_tarifa($F23,$G23),1,COLUMNS($A$1:B$1))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23" s="1" t="str">
        <f>INDEX(Comando_tarifa($F23,$G23),1,COLUMNS($A$1:C$1))</f>
        <v>FQN1*11;FQN2*11;FQN3*11;FQN4*11;FQN5*11;FQN6*11;FQN7*11;FQN8*11;FQN9*11;FQN10*11;</v>
      </c>
      <c r="L23" s="1" t="str">
        <f>INDEX(Comando_tarifa($F23,$G23),1,COLUMNS($A$1:D$1))</f>
        <v>FQN1*14;FQN2*14;FQN3*14;FQN4*14;FQN5*14;FQN6*14;FQN7*14;FQN8*14;FQN9*14;FQN10*14;</v>
      </c>
      <c r="M23" s="1" t="str">
        <f>INDEX(Comando_tarifa($F23,$G23),1,COLUMNS($A$1:E$1))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24" spans="1:13" ht="15" customHeight="1" thickBot="1" x14ac:dyDescent="0.55000000000000004">
      <c r="A24" s="17" t="s">
        <v>61</v>
      </c>
      <c r="B24" s="18" t="s">
        <v>4</v>
      </c>
      <c r="C24" s="18" t="s">
        <v>5</v>
      </c>
      <c r="D24" s="18" t="s">
        <v>11</v>
      </c>
      <c r="E24" s="19" t="s">
        <v>57</v>
      </c>
      <c r="F24">
        <f t="shared" ref="F24:G24" si="21">F23</f>
        <v>10</v>
      </c>
      <c r="G24" t="str">
        <f t="shared" si="21"/>
        <v>3,4,11,14,15</v>
      </c>
      <c r="H24" t="str">
        <f t="shared" si="3"/>
        <v>FQDBHZSCL/R,U*LOW/MJJ/CT/20JAN17**;MD;MD;MD;</v>
      </c>
      <c r="I24" s="1" t="str">
        <f>INDEX(Comando_tarifa($F24,$G24),1,COLUMNS($A$1:A$1))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24" s="1" t="str">
        <f>INDEX(Comando_tarifa($F24,$G24),1,COLUMNS($A$1:B$1))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24" s="1" t="str">
        <f>INDEX(Comando_tarifa($F24,$G24),1,COLUMNS($A$1:C$1))</f>
        <v>FQN1*11;FQN2*11;FQN3*11;FQN4*11;FQN5*11;FQN6*11;FQN7*11;FQN8*11;FQN9*11;FQN10*11;</v>
      </c>
      <c r="L24" s="1" t="str">
        <f>INDEX(Comando_tarifa($F24,$G24),1,COLUMNS($A$1:D$1))</f>
        <v>FQN1*14;FQN2*14;FQN3*14;FQN4*14;FQN5*14;FQN6*14;FQN7*14;FQN8*14;FQN9*14;FQN10*14;</v>
      </c>
      <c r="M24" s="1" t="str">
        <f>INDEX(Comando_tarifa($F24,$G24),1,COLUMNS($A$1:E$1))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25" spans="1:13" ht="15" customHeight="1" thickBot="1" x14ac:dyDescent="0.55000000000000004">
      <c r="A25" s="17" t="s">
        <v>62</v>
      </c>
      <c r="B25" s="18" t="s">
        <v>4</v>
      </c>
      <c r="C25" s="18" t="s">
        <v>5</v>
      </c>
      <c r="D25" s="18" t="s">
        <v>11</v>
      </c>
      <c r="E25" s="19" t="s">
        <v>57</v>
      </c>
      <c r="F25">
        <f t="shared" ref="F25:G25" si="22">F24</f>
        <v>10</v>
      </c>
      <c r="G25" t="str">
        <f t="shared" si="22"/>
        <v>3,4,11,14,15</v>
      </c>
      <c r="H25" t="str">
        <f t="shared" si="3"/>
        <v>FQDBSBSCL/R,U*LOW/MJJ/CT/20JAN17**;MD;MD;MD;</v>
      </c>
      <c r="I25" s="1" t="str">
        <f>INDEX(Comando_tarifa($F25,$G25),1,COLUMNS($A$1:A$1))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25" s="1" t="str">
        <f>INDEX(Comando_tarifa($F25,$G25),1,COLUMNS($A$1:B$1))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25" s="1" t="str">
        <f>INDEX(Comando_tarifa($F25,$G25),1,COLUMNS($A$1:C$1))</f>
        <v>FQN1*11;FQN2*11;FQN3*11;FQN4*11;FQN5*11;FQN6*11;FQN7*11;FQN8*11;FQN9*11;FQN10*11;</v>
      </c>
      <c r="L25" s="1" t="str">
        <f>INDEX(Comando_tarifa($F25,$G25),1,COLUMNS($A$1:D$1))</f>
        <v>FQN1*14;FQN2*14;FQN3*14;FQN4*14;FQN5*14;FQN6*14;FQN7*14;FQN8*14;FQN9*14;FQN10*14;</v>
      </c>
      <c r="M25" s="1" t="str">
        <f>INDEX(Comando_tarifa($F25,$G25),1,COLUMNS($A$1:E$1))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26" spans="1:13" ht="15" customHeight="1" thickBot="1" x14ac:dyDescent="0.55000000000000004">
      <c r="A26" s="17" t="s">
        <v>63</v>
      </c>
      <c r="B26" s="18" t="s">
        <v>4</v>
      </c>
      <c r="C26" s="18" t="s">
        <v>5</v>
      </c>
      <c r="D26" s="18" t="s">
        <v>11</v>
      </c>
      <c r="E26" s="19" t="s">
        <v>57</v>
      </c>
      <c r="F26">
        <f t="shared" ref="F26:G26" si="23">F25</f>
        <v>10</v>
      </c>
      <c r="G26" t="str">
        <f t="shared" si="23"/>
        <v>3,4,11,14,15</v>
      </c>
      <c r="H26" t="str">
        <f t="shared" si="3"/>
        <v>FQDSSASCL/R,U*LOW/MJJ/CT/20JAN17**;MD;MD;MD;</v>
      </c>
      <c r="I26" s="1" t="str">
        <f>INDEX(Comando_tarifa($F26,$G26),1,COLUMNS($A$1:A$1))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26" s="1" t="str">
        <f>INDEX(Comando_tarifa($F26,$G26),1,COLUMNS($A$1:B$1))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26" s="1" t="str">
        <f>INDEX(Comando_tarifa($F26,$G26),1,COLUMNS($A$1:C$1))</f>
        <v>FQN1*11;FQN2*11;FQN3*11;FQN4*11;FQN5*11;FQN6*11;FQN7*11;FQN8*11;FQN9*11;FQN10*11;</v>
      </c>
      <c r="L26" s="1" t="str">
        <f>INDEX(Comando_tarifa($F26,$G26),1,COLUMNS($A$1:D$1))</f>
        <v>FQN1*14;FQN2*14;FQN3*14;FQN4*14;FQN5*14;FQN6*14;FQN7*14;FQN8*14;FQN9*14;FQN10*14;</v>
      </c>
      <c r="M26" s="1" t="str">
        <f>INDEX(Comando_tarifa($F26,$G26),1,COLUMNS($A$1:E$1))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27" spans="1:13" ht="15" customHeight="1" thickBot="1" x14ac:dyDescent="0.55000000000000004">
      <c r="A27" s="17" t="s">
        <v>64</v>
      </c>
      <c r="B27" s="18" t="s">
        <v>4</v>
      </c>
      <c r="C27" s="18" t="s">
        <v>5</v>
      </c>
      <c r="D27" s="18" t="s">
        <v>11</v>
      </c>
      <c r="E27" s="19" t="s">
        <v>57</v>
      </c>
      <c r="F27">
        <f t="shared" ref="F27:G27" si="24">F26</f>
        <v>10</v>
      </c>
      <c r="G27" t="str">
        <f t="shared" si="24"/>
        <v>3,4,11,14,15</v>
      </c>
      <c r="H27" t="str">
        <f t="shared" si="3"/>
        <v>FQDFORSCL/R,U*LOW/MJJ/CT/20JAN17**;MD;MD;MD;</v>
      </c>
      <c r="I27" s="1" t="str">
        <f>INDEX(Comando_tarifa($F27,$G27),1,COLUMNS($A$1:A$1))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27" s="1" t="str">
        <f>INDEX(Comando_tarifa($F27,$G27),1,COLUMNS($A$1:B$1))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27" s="1" t="str">
        <f>INDEX(Comando_tarifa($F27,$G27),1,COLUMNS($A$1:C$1))</f>
        <v>FQN1*11;FQN2*11;FQN3*11;FQN4*11;FQN5*11;FQN6*11;FQN7*11;FQN8*11;FQN9*11;FQN10*11;</v>
      </c>
      <c r="L27" s="1" t="str">
        <f>INDEX(Comando_tarifa($F27,$G27),1,COLUMNS($A$1:D$1))</f>
        <v>FQN1*14;FQN2*14;FQN3*14;FQN4*14;FQN5*14;FQN6*14;FQN7*14;FQN8*14;FQN9*14;FQN10*14;</v>
      </c>
      <c r="M27" s="1" t="str">
        <f>INDEX(Comando_tarifa($F27,$G27),1,COLUMNS($A$1:E$1))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28" spans="1:13" ht="15" customHeight="1" thickBot="1" x14ac:dyDescent="0.55000000000000004">
      <c r="A28" s="17" t="s">
        <v>65</v>
      </c>
      <c r="B28" s="18" t="s">
        <v>4</v>
      </c>
      <c r="C28" s="18" t="s">
        <v>5</v>
      </c>
      <c r="D28" s="18" t="s">
        <v>11</v>
      </c>
      <c r="E28" s="19" t="s">
        <v>57</v>
      </c>
      <c r="F28">
        <f t="shared" ref="F28:G28" si="25">F27</f>
        <v>10</v>
      </c>
      <c r="G28" t="str">
        <f t="shared" si="25"/>
        <v>3,4,11,14,15</v>
      </c>
      <c r="H28" t="str">
        <f t="shared" si="3"/>
        <v>FQDRECSCL/R,U*LOW/MJJ/CT/20JAN17**;MD;MD;MD;</v>
      </c>
      <c r="I28" s="1" t="str">
        <f>INDEX(Comando_tarifa($F28,$G28),1,COLUMNS($A$1:A$1))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28" s="1" t="str">
        <f>INDEX(Comando_tarifa($F28,$G28),1,COLUMNS($A$1:B$1))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28" s="1" t="str">
        <f>INDEX(Comando_tarifa($F28,$G28),1,COLUMNS($A$1:C$1))</f>
        <v>FQN1*11;FQN2*11;FQN3*11;FQN4*11;FQN5*11;FQN6*11;FQN7*11;FQN8*11;FQN9*11;FQN10*11;</v>
      </c>
      <c r="L28" s="1" t="str">
        <f>INDEX(Comando_tarifa($F28,$G28),1,COLUMNS($A$1:D$1))</f>
        <v>FQN1*14;FQN2*14;FQN3*14;FQN4*14;FQN5*14;FQN6*14;FQN7*14;FQN8*14;FQN9*14;FQN10*14;</v>
      </c>
      <c r="M28" s="1" t="str">
        <f>INDEX(Comando_tarifa($F28,$G28),1,COLUMNS($A$1:E$1))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29" spans="1:13" ht="15" customHeight="1" thickBot="1" x14ac:dyDescent="0.55000000000000004">
      <c r="A29" s="17" t="s">
        <v>66</v>
      </c>
      <c r="B29" s="18" t="s">
        <v>4</v>
      </c>
      <c r="C29" s="18" t="s">
        <v>5</v>
      </c>
      <c r="D29" s="18" t="s">
        <v>11</v>
      </c>
      <c r="E29" s="19" t="s">
        <v>57</v>
      </c>
      <c r="F29">
        <f t="shared" ref="F29:G29" si="26">F28</f>
        <v>10</v>
      </c>
      <c r="G29" t="str">
        <f t="shared" si="26"/>
        <v>3,4,11,14,15</v>
      </c>
      <c r="H29" t="str">
        <f t="shared" si="3"/>
        <v>FQDBPSSCL/R,U*LOW/MJJ/CT/20JAN17**;MD;MD;MD;</v>
      </c>
      <c r="I29" s="1" t="str">
        <f>INDEX(Comando_tarifa($F29,$G29),1,COLUMNS($A$1:A$1))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29" s="1" t="str">
        <f>INDEX(Comando_tarifa($F29,$G29),1,COLUMNS($A$1:B$1))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29" s="1" t="str">
        <f>INDEX(Comando_tarifa($F29,$G29),1,COLUMNS($A$1:C$1))</f>
        <v>FQN1*11;FQN2*11;FQN3*11;FQN4*11;FQN5*11;FQN6*11;FQN7*11;FQN8*11;FQN9*11;FQN10*11;</v>
      </c>
      <c r="L29" s="1" t="str">
        <f>INDEX(Comando_tarifa($F29,$G29),1,COLUMNS($A$1:D$1))</f>
        <v>FQN1*14;FQN2*14;FQN3*14;FQN4*14;FQN5*14;FQN6*14;FQN7*14;FQN8*14;FQN9*14;FQN10*14;</v>
      </c>
      <c r="M29" s="1" t="str">
        <f>INDEX(Comando_tarifa($F29,$G29),1,COLUMNS($A$1:E$1))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30" spans="1:13" ht="15" customHeight="1" thickBot="1" x14ac:dyDescent="0.55000000000000004">
      <c r="A30" s="17" t="s">
        <v>67</v>
      </c>
      <c r="B30" s="18" t="s">
        <v>4</v>
      </c>
      <c r="C30" s="18" t="s">
        <v>5</v>
      </c>
      <c r="D30" s="18" t="s">
        <v>11</v>
      </c>
      <c r="E30" s="19" t="s">
        <v>57</v>
      </c>
      <c r="F30">
        <f t="shared" ref="F30:G30" si="27">F29</f>
        <v>10</v>
      </c>
      <c r="G30" t="str">
        <f t="shared" si="27"/>
        <v>3,4,11,14,15</v>
      </c>
      <c r="H30" t="str">
        <f t="shared" si="3"/>
        <v>FQDFLNSCL/R,U*LOW/MJJ/CT/20JAN17**;MD;MD;MD;</v>
      </c>
      <c r="I30" s="1" t="str">
        <f>INDEX(Comando_tarifa($F30,$G30),1,COLUMNS($A$1:A$1))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30" s="1" t="str">
        <f>INDEX(Comando_tarifa($F30,$G30),1,COLUMNS($A$1:B$1))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30" s="1" t="str">
        <f>INDEX(Comando_tarifa($F30,$G30),1,COLUMNS($A$1:C$1))</f>
        <v>FQN1*11;FQN2*11;FQN3*11;FQN4*11;FQN5*11;FQN6*11;FQN7*11;FQN8*11;FQN9*11;FQN10*11;</v>
      </c>
      <c r="L30" s="1" t="str">
        <f>INDEX(Comando_tarifa($F30,$G30),1,COLUMNS($A$1:D$1))</f>
        <v>FQN1*14;FQN2*14;FQN3*14;FQN4*14;FQN5*14;FQN6*14;FQN7*14;FQN8*14;FQN9*14;FQN10*14;</v>
      </c>
      <c r="M30" s="1" t="str">
        <f>INDEX(Comando_tarifa($F30,$G30),1,COLUMNS($A$1:E$1))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31" spans="1:13" ht="15" customHeight="1" thickBot="1" x14ac:dyDescent="0.55000000000000004">
      <c r="A31" s="17" t="s">
        <v>55</v>
      </c>
      <c r="B31" s="18" t="s">
        <v>68</v>
      </c>
      <c r="C31" s="18" t="s">
        <v>5</v>
      </c>
      <c r="D31" s="18" t="s">
        <v>11</v>
      </c>
      <c r="E31" s="19" t="s">
        <v>57</v>
      </c>
      <c r="F31">
        <f t="shared" ref="F31:G31" si="28">F30</f>
        <v>10</v>
      </c>
      <c r="G31" t="str">
        <f t="shared" si="28"/>
        <v>3,4,11,14,15</v>
      </c>
      <c r="H31" t="str">
        <f t="shared" si="3"/>
        <v>FQDSAOMVD/R,U*LOW/MJJ/CT/20JAN17**;MD;MD;MD;</v>
      </c>
      <c r="I31" s="1" t="str">
        <f>INDEX(Comando_tarifa($F31,$G31),1,COLUMNS($A$1:A$1))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31" s="1" t="str">
        <f>INDEX(Comando_tarifa($F31,$G31),1,COLUMNS($A$1:B$1))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31" s="1" t="str">
        <f>INDEX(Comando_tarifa($F31,$G31),1,COLUMNS($A$1:C$1))</f>
        <v>FQN1*11;FQN2*11;FQN3*11;FQN4*11;FQN5*11;FQN6*11;FQN7*11;FQN8*11;FQN9*11;FQN10*11;</v>
      </c>
      <c r="L31" s="1" t="str">
        <f>INDEX(Comando_tarifa($F31,$G31),1,COLUMNS($A$1:D$1))</f>
        <v>FQN1*14;FQN2*14;FQN3*14;FQN4*14;FQN5*14;FQN6*14;FQN7*14;FQN8*14;FQN9*14;FQN10*14;</v>
      </c>
      <c r="M31" s="1" t="str">
        <f>INDEX(Comando_tarifa($F31,$G31),1,COLUMNS($A$1:E$1))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32" spans="1:13" ht="15" customHeight="1" thickBot="1" x14ac:dyDescent="0.55000000000000004">
      <c r="A32" s="17" t="s">
        <v>58</v>
      </c>
      <c r="B32" s="18" t="s">
        <v>68</v>
      </c>
      <c r="C32" s="18" t="s">
        <v>5</v>
      </c>
      <c r="D32" s="18" t="s">
        <v>11</v>
      </c>
      <c r="E32" s="19" t="s">
        <v>57</v>
      </c>
      <c r="F32">
        <f t="shared" ref="F32:G32" si="29">F31</f>
        <v>10</v>
      </c>
      <c r="G32" t="str">
        <f t="shared" si="29"/>
        <v>3,4,11,14,15</v>
      </c>
      <c r="H32" t="str">
        <f t="shared" si="3"/>
        <v>FQDRIOMVD/R,U*LOW/MJJ/CT/20JAN17**;MD;MD;MD;</v>
      </c>
      <c r="I32" s="1" t="str">
        <f>INDEX(Comando_tarifa($F32,$G32),1,COLUMNS($A$1:A$1))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32" s="1" t="str">
        <f>INDEX(Comando_tarifa($F32,$G32),1,COLUMNS($A$1:B$1))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32" s="1" t="str">
        <f>INDEX(Comando_tarifa($F32,$G32),1,COLUMNS($A$1:C$1))</f>
        <v>FQN1*11;FQN2*11;FQN3*11;FQN4*11;FQN5*11;FQN6*11;FQN7*11;FQN8*11;FQN9*11;FQN10*11;</v>
      </c>
      <c r="L32" s="1" t="str">
        <f>INDEX(Comando_tarifa($F32,$G32),1,COLUMNS($A$1:D$1))</f>
        <v>FQN1*14;FQN2*14;FQN3*14;FQN4*14;FQN5*14;FQN6*14;FQN7*14;FQN8*14;FQN9*14;FQN10*14;</v>
      </c>
      <c r="M32" s="1" t="str">
        <f>INDEX(Comando_tarifa($F32,$G32),1,COLUMNS($A$1:E$1))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33" spans="1:13" ht="15" customHeight="1" thickBot="1" x14ac:dyDescent="0.55000000000000004">
      <c r="A33" s="17" t="s">
        <v>55</v>
      </c>
      <c r="B33" s="18" t="s">
        <v>69</v>
      </c>
      <c r="C33" s="18" t="s">
        <v>5</v>
      </c>
      <c r="D33" s="18" t="s">
        <v>11</v>
      </c>
      <c r="E33" s="19" t="s">
        <v>57</v>
      </c>
      <c r="F33">
        <f t="shared" ref="F33:G33" si="30">F32</f>
        <v>10</v>
      </c>
      <c r="G33" t="str">
        <f t="shared" si="30"/>
        <v>3,4,11,14,15</v>
      </c>
      <c r="H33" t="str">
        <f t="shared" si="3"/>
        <v>FQDSAOPDP/R,U*LOW/MJJ/CT/20JAN17**;MD;MD;MD;</v>
      </c>
      <c r="I33" s="1" t="str">
        <f>INDEX(Comando_tarifa($F33,$G33),1,COLUMNS($A$1:A$1))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33" s="1" t="str">
        <f>INDEX(Comando_tarifa($F33,$G33),1,COLUMNS($A$1:B$1))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33" s="1" t="str">
        <f>INDEX(Comando_tarifa($F33,$G33),1,COLUMNS($A$1:C$1))</f>
        <v>FQN1*11;FQN2*11;FQN3*11;FQN4*11;FQN5*11;FQN6*11;FQN7*11;FQN8*11;FQN9*11;FQN10*11;</v>
      </c>
      <c r="L33" s="1" t="str">
        <f>INDEX(Comando_tarifa($F33,$G33),1,COLUMNS($A$1:D$1))</f>
        <v>FQN1*14;FQN2*14;FQN3*14;FQN4*14;FQN5*14;FQN6*14;FQN7*14;FQN8*14;FQN9*14;FQN10*14;</v>
      </c>
      <c r="M33" s="1" t="str">
        <f>INDEX(Comando_tarifa($F33,$G33),1,COLUMNS($A$1:E$1))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34" spans="1:13" ht="15" customHeight="1" thickBot="1" x14ac:dyDescent="0.55000000000000004">
      <c r="A34" s="17" t="s">
        <v>55</v>
      </c>
      <c r="B34" s="18" t="s">
        <v>70</v>
      </c>
      <c r="C34" s="18" t="s">
        <v>5</v>
      </c>
      <c r="D34" s="18" t="s">
        <v>11</v>
      </c>
      <c r="E34" s="19" t="s">
        <v>57</v>
      </c>
      <c r="F34">
        <f t="shared" ref="F34:G34" si="31">F33</f>
        <v>10</v>
      </c>
      <c r="G34" t="str">
        <f t="shared" si="31"/>
        <v>3,4,11,14,15</v>
      </c>
      <c r="H34" t="str">
        <f t="shared" si="3"/>
        <v>FQDSAOLIM/R,U*LOW/MJJ/CT/20JAN17**;MD;MD;MD;</v>
      </c>
      <c r="I34" s="1" t="str">
        <f>INDEX(Comando_tarifa($F34,$G34),1,COLUMNS($A$1:A$1))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34" s="1" t="str">
        <f>INDEX(Comando_tarifa($F34,$G34),1,COLUMNS($A$1:B$1))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34" s="1" t="str">
        <f>INDEX(Comando_tarifa($F34,$G34),1,COLUMNS($A$1:C$1))</f>
        <v>FQN1*11;FQN2*11;FQN3*11;FQN4*11;FQN5*11;FQN6*11;FQN7*11;FQN8*11;FQN9*11;FQN10*11;</v>
      </c>
      <c r="L34" s="1" t="str">
        <f>INDEX(Comando_tarifa($F34,$G34),1,COLUMNS($A$1:D$1))</f>
        <v>FQN1*14;FQN2*14;FQN3*14;FQN4*14;FQN5*14;FQN6*14;FQN7*14;FQN8*14;FQN9*14;FQN10*14;</v>
      </c>
      <c r="M34" s="1" t="str">
        <f>INDEX(Comando_tarifa($F34,$G34),1,COLUMNS($A$1:E$1))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35" spans="1:13" ht="15" customHeight="1" thickBot="1" x14ac:dyDescent="0.55000000000000004">
      <c r="A35" s="17" t="s">
        <v>58</v>
      </c>
      <c r="B35" s="18" t="s">
        <v>70</v>
      </c>
      <c r="C35" s="18" t="s">
        <v>5</v>
      </c>
      <c r="D35" s="18" t="s">
        <v>11</v>
      </c>
      <c r="E35" s="19" t="s">
        <v>57</v>
      </c>
      <c r="F35">
        <f t="shared" ref="F35:G35" si="32">F34</f>
        <v>10</v>
      </c>
      <c r="G35" t="str">
        <f t="shared" si="32"/>
        <v>3,4,11,14,15</v>
      </c>
      <c r="H35" t="str">
        <f t="shared" si="3"/>
        <v>FQDRIOLIM/R,U*LOW/MJJ/CT/20JAN17**;MD;MD;MD;</v>
      </c>
      <c r="I35" s="1" t="str">
        <f>INDEX(Comando_tarifa($F35,$G35),1,COLUMNS($A$1:A$1))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35" s="1" t="str">
        <f>INDEX(Comando_tarifa($F35,$G35),1,COLUMNS($A$1:B$1))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35" s="1" t="str">
        <f>INDEX(Comando_tarifa($F35,$G35),1,COLUMNS($A$1:C$1))</f>
        <v>FQN1*11;FQN2*11;FQN3*11;FQN4*11;FQN5*11;FQN6*11;FQN7*11;FQN8*11;FQN9*11;FQN10*11;</v>
      </c>
      <c r="L35" s="1" t="str">
        <f>INDEX(Comando_tarifa($F35,$G35),1,COLUMNS($A$1:D$1))</f>
        <v>FQN1*14;FQN2*14;FQN3*14;FQN4*14;FQN5*14;FQN6*14;FQN7*14;FQN8*14;FQN9*14;FQN10*14;</v>
      </c>
      <c r="M35" s="1" t="str">
        <f>INDEX(Comando_tarifa($F35,$G35),1,COLUMNS($A$1:E$1))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36" spans="1:13" ht="15" customHeight="1" thickBot="1" x14ac:dyDescent="0.55000000000000004">
      <c r="A36" s="17" t="s">
        <v>59</v>
      </c>
      <c r="B36" s="18" t="s">
        <v>70</v>
      </c>
      <c r="C36" s="18" t="s">
        <v>5</v>
      </c>
      <c r="D36" s="18" t="s">
        <v>11</v>
      </c>
      <c r="E36" s="19" t="s">
        <v>57</v>
      </c>
      <c r="F36">
        <f t="shared" ref="F36:G36" si="33">F35</f>
        <v>10</v>
      </c>
      <c r="G36" t="str">
        <f t="shared" si="33"/>
        <v>3,4,11,14,15</v>
      </c>
      <c r="H36" t="str">
        <f t="shared" si="3"/>
        <v>FQDCWBLIM/R,U*LOW/MJJ/CT/20JAN17**;MD;MD;MD;</v>
      </c>
      <c r="I36" s="1" t="str">
        <f>INDEX(Comando_tarifa($F36,$G36),1,COLUMNS($A$1:A$1))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36" s="1" t="str">
        <f>INDEX(Comando_tarifa($F36,$G36),1,COLUMNS($A$1:B$1))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36" s="1" t="str">
        <f>INDEX(Comando_tarifa($F36,$G36),1,COLUMNS($A$1:C$1))</f>
        <v>FQN1*11;FQN2*11;FQN3*11;FQN4*11;FQN5*11;FQN6*11;FQN7*11;FQN8*11;FQN9*11;FQN10*11;</v>
      </c>
      <c r="L36" s="1" t="str">
        <f>INDEX(Comando_tarifa($F36,$G36),1,COLUMNS($A$1:D$1))</f>
        <v>FQN1*14;FQN2*14;FQN3*14;FQN4*14;FQN5*14;FQN6*14;FQN7*14;FQN8*14;FQN9*14;FQN10*14;</v>
      </c>
      <c r="M36" s="1" t="str">
        <f>INDEX(Comando_tarifa($F36,$G36),1,COLUMNS($A$1:E$1))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37" spans="1:13" ht="15" customHeight="1" thickBot="1" x14ac:dyDescent="0.55000000000000004">
      <c r="A37" s="17" t="s">
        <v>60</v>
      </c>
      <c r="B37" s="18" t="s">
        <v>70</v>
      </c>
      <c r="C37" s="18" t="s">
        <v>5</v>
      </c>
      <c r="D37" s="18" t="s">
        <v>11</v>
      </c>
      <c r="E37" s="19" t="s">
        <v>57</v>
      </c>
      <c r="F37">
        <f t="shared" ref="F37:G37" si="34">F36</f>
        <v>10</v>
      </c>
      <c r="G37" t="str">
        <f t="shared" si="34"/>
        <v>3,4,11,14,15</v>
      </c>
      <c r="H37" t="str">
        <f t="shared" si="3"/>
        <v>FQDPOALIM/R,U*LOW/MJJ/CT/20JAN17**;MD;MD;MD;</v>
      </c>
      <c r="I37" s="1" t="str">
        <f>INDEX(Comando_tarifa($F37,$G37),1,COLUMNS($A$1:A$1))</f>
        <v>FQN1*3;MD;MD;MD;MD;MD;MD;MD;MD;MD;MD;MD;MD;MD;FQN2*3;MD;MD;MD;MD;MD;MD;MD;MD;MD;MD;MD;MD;MD;FQN3*3;MD;MD;MD;MD;MD;MD;MD;MD;MD;MD;MD;MD;MD;FQN4*3;MD;MD;MD;MD;MD;MD;MD;MD;MD;MD;MD;MD;MD;FQN5*3;MD;MD;MD;MD;MD;MD;MD;MD;MD;MD;MD;MD;MD;FQN6*3;MD;MD;MD;MD;MD;MD;MD;MD;MD;MD;MD;MD;MD;FQN7*3;MD;MD;MD;MD;MD;MD;MD;MD;MD;MD;MD;MD;MD;FQN8*3;MD;MD;MD;MD;MD;MD;MD;MD;MD;MD;MD;MD;MD;FQN9*3;MD;MD;MD;MD;MD;MD;MD;MD;MD;MD;MD;MD;MD;FQN10*3;MD;MD;MD;MD;MD;MD;MD;MD;MD;MD;MD;MD;MD;</v>
      </c>
      <c r="J37" s="1" t="str">
        <f>INDEX(Comando_tarifa($F37,$G37),1,COLUMNS($A$1:B$1))</f>
        <v>FQN1*4;MD;MD;MD;MD;MD;MD;MD;MD;MD;MD;MD;MD;MD;FQN2*4;MD;MD;MD;MD;MD;MD;MD;MD;MD;MD;MD;MD;MD;FQN3*4;MD;MD;MD;MD;MD;MD;MD;MD;MD;MD;MD;MD;MD;FQN4*4;MD;MD;MD;MD;MD;MD;MD;MD;MD;MD;MD;MD;MD;FQN5*4;MD;MD;MD;MD;MD;MD;MD;MD;MD;MD;MD;MD;MD;FQN6*4;MD;MD;MD;MD;MD;MD;MD;MD;MD;MD;MD;MD;MD;FQN7*4;MD;MD;MD;MD;MD;MD;MD;MD;MD;MD;MD;MD;MD;FQN8*4;MD;MD;MD;MD;MD;MD;MD;MD;MD;MD;MD;MD;MD;FQN9*4;MD;MD;MD;MD;MD;MD;MD;MD;MD;MD;MD;MD;MD;FQN10*4;MD;MD;MD;MD;MD;MD;MD;MD;MD;MD;MD;MD;MD;</v>
      </c>
      <c r="K37" s="1" t="str">
        <f>INDEX(Comando_tarifa($F37,$G37),1,COLUMNS($A$1:C$1))</f>
        <v>FQN1*11;FQN2*11;FQN3*11;FQN4*11;FQN5*11;FQN6*11;FQN7*11;FQN8*11;FQN9*11;FQN10*11;</v>
      </c>
      <c r="L37" s="1" t="str">
        <f>INDEX(Comando_tarifa($F37,$G37),1,COLUMNS($A$1:D$1))</f>
        <v>FQN1*14;FQN2*14;FQN3*14;FQN4*14;FQN5*14;FQN6*14;FQN7*14;FQN8*14;FQN9*14;FQN10*14;</v>
      </c>
      <c r="M37" s="1" t="str">
        <f>INDEX(Comando_tarifa($F37,$G37),1,COLUMNS($A$1:E$1))</f>
        <v>FQN1*15;MD;MD;MD;MD;MD;MD;MD;MD;MD;MD;MD;MD;MD;FQN2*15;MD;MD;MD;MD;MD;MD;MD;MD;MD;MD;MD;MD;MD;FQN3*15;MD;MD;MD;MD;MD;MD;MD;MD;MD;MD;MD;MD;MD;FQN4*15;MD;MD;MD;MD;MD;MD;MD;MD;MD;MD;MD;MD;MD;FQN5*15;MD;MD;MD;MD;MD;MD;MD;MD;MD;MD;MD;MD;MD;FQN6*15;MD;MD;MD;MD;MD;MD;MD;MD;MD;MD;MD;MD;MD;FQN7*15;MD;MD;MD;MD;MD;MD;MD;MD;MD;MD;MD;MD;MD;FQN8*15;MD;MD;MD;MD;MD;MD;MD;MD;MD;MD;MD;MD;MD;FQN9*15;MD;MD;MD;MD;MD;MD;MD;MD;MD;MD;MD;MD;MD;FQN10*15;MD;MD;MD;MD;MD;MD;MD;MD;MD;MD;MD;MD;MD;</v>
      </c>
    </row>
    <row r="38" spans="1:13" ht="15" customHeight="1" x14ac:dyDescent="0.5"/>
    <row r="39" spans="1:13" ht="15" customHeight="1" x14ac:dyDescent="0.5"/>
    <row r="40" spans="1:13" ht="15" customHeight="1" x14ac:dyDescent="0.5"/>
    <row r="41" spans="1:13" ht="15" customHeight="1" x14ac:dyDescent="0.5"/>
    <row r="42" spans="1:13" ht="15" customHeight="1" x14ac:dyDescent="0.5"/>
    <row r="43" spans="1:13" ht="15" customHeight="1" x14ac:dyDescent="0.5"/>
    <row r="44" spans="1:13" ht="15" customHeight="1" x14ac:dyDescent="0.5"/>
    <row r="45" spans="1:13" ht="15" customHeight="1" x14ac:dyDescent="0.5"/>
    <row r="46" spans="1:13" ht="15" customHeight="1" x14ac:dyDescent="0.5"/>
    <row r="47" spans="1:13" ht="15" customHeight="1" x14ac:dyDescent="0.5"/>
    <row r="48" spans="1:13" ht="15" customHeight="1" x14ac:dyDescent="0.5"/>
    <row r="49" ht="15" customHeight="1" x14ac:dyDescent="0.5"/>
    <row r="50" ht="15" customHeight="1" x14ac:dyDescent="0.5"/>
    <row r="51" ht="15" customHeight="1" x14ac:dyDescent="0.5"/>
    <row r="52" ht="15" customHeight="1" x14ac:dyDescent="0.5"/>
    <row r="53" ht="15" customHeight="1" x14ac:dyDescent="0.5"/>
    <row r="54" ht="15" customHeight="1" x14ac:dyDescent="0.5"/>
    <row r="55" ht="15" customHeight="1" x14ac:dyDescent="0.5"/>
    <row r="56" ht="15" customHeight="1" x14ac:dyDescent="0.5"/>
    <row r="57" ht="15" customHeight="1" x14ac:dyDescent="0.5"/>
    <row r="58" ht="15" customHeight="1" x14ac:dyDescent="0.5"/>
    <row r="59" ht="15" customHeight="1" x14ac:dyDescent="0.5"/>
    <row r="60" ht="15" customHeight="1" x14ac:dyDescent="0.5"/>
    <row r="61" ht="15" customHeight="1" x14ac:dyDescent="0.5"/>
    <row r="62" ht="15" customHeight="1" x14ac:dyDescent="0.5"/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6"/>
  <sheetViews>
    <sheetView topLeftCell="A10" workbookViewId="0">
      <selection activeCell="G12" sqref="G12"/>
    </sheetView>
  </sheetViews>
  <sheetFormatPr defaultRowHeight="14.35" x14ac:dyDescent="0.5"/>
  <cols>
    <col min="1" max="1" width="11.1171875" bestFit="1" customWidth="1"/>
    <col min="2" max="6" width="11.1171875" customWidth="1"/>
    <col min="7" max="7" width="30" customWidth="1"/>
    <col min="10" max="11" width="18.64453125" customWidth="1"/>
  </cols>
  <sheetData>
    <row r="1" spans="1:15" x14ac:dyDescent="0.5">
      <c r="B1" t="s">
        <v>19</v>
      </c>
      <c r="C1" t="s">
        <v>21</v>
      </c>
      <c r="E1" t="s">
        <v>23</v>
      </c>
      <c r="F1" t="s">
        <v>22</v>
      </c>
      <c r="G1" t="s">
        <v>17</v>
      </c>
      <c r="H1" t="s">
        <v>18</v>
      </c>
    </row>
    <row r="2" spans="1:15" x14ac:dyDescent="0.5">
      <c r="B2" t="s">
        <v>20</v>
      </c>
      <c r="C2" t="s">
        <v>16</v>
      </c>
      <c r="F2">
        <v>1</v>
      </c>
    </row>
    <row r="3" spans="1:15" x14ac:dyDescent="0.5">
      <c r="F3">
        <v>3</v>
      </c>
    </row>
    <row r="4" spans="1:15" x14ac:dyDescent="0.5">
      <c r="F4">
        <v>14</v>
      </c>
    </row>
    <row r="7" spans="1:15" x14ac:dyDescent="0.5">
      <c r="C7" t="s">
        <v>24</v>
      </c>
      <c r="D7" t="s">
        <v>26</v>
      </c>
      <c r="E7" t="s">
        <v>25</v>
      </c>
    </row>
    <row r="8" spans="1:15" x14ac:dyDescent="0.5">
      <c r="C8" t="s">
        <v>24</v>
      </c>
      <c r="D8" t="s">
        <v>27</v>
      </c>
      <c r="E8" t="s">
        <v>28</v>
      </c>
    </row>
    <row r="11" spans="1:15" x14ac:dyDescent="0.5">
      <c r="A11" s="2" t="s">
        <v>29</v>
      </c>
      <c r="B11" s="2" t="s">
        <v>30</v>
      </c>
      <c r="C11" s="3" t="s">
        <v>31</v>
      </c>
      <c r="D11" s="3" t="s">
        <v>8</v>
      </c>
      <c r="E11" s="3" t="s">
        <v>32</v>
      </c>
      <c r="F11" s="4" t="s">
        <v>33</v>
      </c>
      <c r="G11" s="4" t="s">
        <v>34</v>
      </c>
      <c r="H11" s="5" t="s">
        <v>35</v>
      </c>
      <c r="I11" s="2" t="s">
        <v>36</v>
      </c>
      <c r="J11" s="2" t="s">
        <v>37</v>
      </c>
      <c r="K11" s="11" t="s">
        <v>26</v>
      </c>
      <c r="L11" s="11"/>
      <c r="M11" t="s">
        <v>46</v>
      </c>
      <c r="O11" s="11" t="s">
        <v>53</v>
      </c>
    </row>
    <row r="12" spans="1:15" ht="258" x14ac:dyDescent="0.5">
      <c r="A12" s="6" t="s">
        <v>38</v>
      </c>
      <c r="B12" s="7">
        <v>42305</v>
      </c>
      <c r="C12" s="8" t="s">
        <v>39</v>
      </c>
      <c r="D12" s="9" t="s">
        <v>40</v>
      </c>
      <c r="E12" s="9">
        <v>71000</v>
      </c>
      <c r="F12" s="10" t="s">
        <v>41</v>
      </c>
      <c r="G12" s="10" t="s">
        <v>42</v>
      </c>
      <c r="H12" s="10" t="s">
        <v>43</v>
      </c>
      <c r="I12" s="10" t="s">
        <v>44</v>
      </c>
      <c r="J12" s="10" t="s">
        <v>45</v>
      </c>
      <c r="K12" s="12" t="s">
        <v>52</v>
      </c>
      <c r="L12" s="12" t="s">
        <v>47</v>
      </c>
      <c r="M12" s="13">
        <v>42621</v>
      </c>
      <c r="N12" s="13">
        <v>42580</v>
      </c>
      <c r="O12" t="s">
        <v>54</v>
      </c>
    </row>
    <row r="13" spans="1:15" ht="258" x14ac:dyDescent="0.5">
      <c r="C13" s="8" t="s">
        <v>39</v>
      </c>
      <c r="D13" s="9" t="s">
        <v>40</v>
      </c>
      <c r="E13" s="9">
        <v>71000</v>
      </c>
      <c r="F13" s="10" t="s">
        <v>41</v>
      </c>
      <c r="G13" s="10" t="s">
        <v>42</v>
      </c>
      <c r="H13" s="10" t="s">
        <v>43</v>
      </c>
      <c r="I13" s="10" t="s">
        <v>44</v>
      </c>
      <c r="J13" s="10" t="s">
        <v>45</v>
      </c>
      <c r="K13" s="15" t="s">
        <v>52</v>
      </c>
      <c r="L13" t="s">
        <v>48</v>
      </c>
      <c r="M13" t="s">
        <v>49</v>
      </c>
      <c r="N13" s="14">
        <v>42631</v>
      </c>
    </row>
    <row r="14" spans="1:15" ht="258" x14ac:dyDescent="0.5">
      <c r="C14" s="8" t="s">
        <v>39</v>
      </c>
      <c r="D14" s="9" t="s">
        <v>40</v>
      </c>
      <c r="E14" s="9">
        <v>71000</v>
      </c>
      <c r="F14" s="10" t="s">
        <v>41</v>
      </c>
      <c r="G14" s="10" t="s">
        <v>42</v>
      </c>
      <c r="H14" s="10" t="s">
        <v>43</v>
      </c>
      <c r="I14" s="10" t="s">
        <v>44</v>
      </c>
      <c r="J14" s="10" t="s">
        <v>45</v>
      </c>
      <c r="K14" s="15" t="s">
        <v>52</v>
      </c>
      <c r="L14" t="s">
        <v>48</v>
      </c>
      <c r="M14" s="14">
        <v>42637</v>
      </c>
      <c r="N14" t="s">
        <v>50</v>
      </c>
    </row>
    <row r="15" spans="1:15" x14ac:dyDescent="0.5">
      <c r="K15" s="16" t="s">
        <v>52</v>
      </c>
      <c r="L15" t="s">
        <v>51</v>
      </c>
      <c r="M15" s="14">
        <v>42629</v>
      </c>
      <c r="N15" s="14">
        <v>42560</v>
      </c>
    </row>
    <row r="16" spans="1:15" x14ac:dyDescent="0.5">
      <c r="L16" t="s">
        <v>51</v>
      </c>
      <c r="M16" t="s">
        <v>49</v>
      </c>
      <c r="N16" s="14">
        <v>42623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Despliegue Montos</vt:lpstr>
      <vt:lpstr>Despliegues de regulaciones </vt:lpstr>
      <vt:lpstr>season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Orrego</dc:creator>
  <cp:lastModifiedBy>Marcos Orrego</cp:lastModifiedBy>
  <dcterms:created xsi:type="dcterms:W3CDTF">2016-11-23T14:01:25Z</dcterms:created>
  <dcterms:modified xsi:type="dcterms:W3CDTF">2017-01-18T20:08:07Z</dcterms:modified>
</cp:coreProperties>
</file>